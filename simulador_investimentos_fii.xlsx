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dor" sheetId="1" state="visible" r:id="rId3"/>
    <sheet name="Apoio" sheetId="2" state="visible" r:id="rId4"/>
  </sheets>
  <definedNames>
    <definedName function="false" hidden="false" localSheetId="0" name="_xlnm.Print_Area" vbProcedure="false">Simulador!$A$1:$M$45</definedName>
    <definedName function="false" hidden="false" name="aporte" vbProcedure="false">Simulador!$D$15</definedName>
    <definedName function="false" hidden="false" name="patrimonio" vbProcedure="false">Simulador!$D$18</definedName>
    <definedName function="false" hidden="false" name="pct_sugestao" vbProcedure="false">Simulador!$D$10</definedName>
    <definedName function="false" hidden="false" name="perfil" vbProcedure="false">Simulador!$C$32</definedName>
    <definedName function="false" hidden="false" name="qtd_anos" vbProcedure="false">Simulador!$D$16</definedName>
    <definedName function="false" hidden="false" name="rendimento_carteira" vbProcedure="false">Simulador!$D$9</definedName>
    <definedName function="false" hidden="false" name="salario" vbProcedure="false">Simulador!$D$8</definedName>
    <definedName function="false" hidden="false" name="sugestao_aporte" vbProcedure="false">Simulador!$D$11</definedName>
    <definedName function="false" hidden="false" name="taxa_mensal" vbProcedure="false">Simulador!$D$17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9" authorId="0">
      <text>
        <r>
          <rPr>
            <sz val="10"/>
            <rFont val="Arial"/>
            <family val="2"/>
          </rPr>
          <t xml:space="preserve">Exemplo: 0,80% ao mês de dividendos sobre o patrimônio. Ajuste para a sua carteira.</t>
        </r>
      </text>
    </comment>
  </commentList>
</comments>
</file>

<file path=xl/sharedStrings.xml><?xml version="1.0" encoding="utf-8"?>
<sst xmlns="http://schemas.openxmlformats.org/spreadsheetml/2006/main" count="88" uniqueCount="50">
  <si>
    <t xml:space="preserve">SIMULADOR DE INVESTIMENTOS EM FIIs</t>
  </si>
  <si>
    <t xml:space="preserve">Aporte mensal, patrimônio, dividendos e divisão da carteira por perfil</t>
  </si>
  <si>
    <t xml:space="preserve">Você preenche</t>
  </si>
  <si>
    <t xml:space="preserve">Calculado (não editar)</t>
  </si>
  <si>
    <t xml:space="preserve">CONFIGURAÇÕES</t>
  </si>
  <si>
    <t xml:space="preserve">Salário mensal</t>
  </si>
  <si>
    <t xml:space="preserve">Rendimento mensal da carteira (dividendos)</t>
  </si>
  <si>
    <t xml:space="preserve">% do salário sugerido para investir</t>
  </si>
  <si>
    <t xml:space="preserve">Sugestão de aporte mensal</t>
  </si>
  <si>
    <t xml:space="preserve">INVESTIMENTO MENSAL — AS CINCO PERGUNTAS DE NEGÓCIO</t>
  </si>
  <si>
    <t xml:space="preserve">Valor informado</t>
  </si>
  <si>
    <t xml:space="preserve">Com a sugestão</t>
  </si>
  <si>
    <t xml:space="preserve">1. Quanto investir por mês?</t>
  </si>
  <si>
    <t xml:space="preserve">2. Por quantos anos?</t>
  </si>
  <si>
    <t xml:space="preserve">3. Qual a taxa de rendimento mensal?</t>
  </si>
  <si>
    <t xml:space="preserve">4. Quanto de patrimônio vou acumular?</t>
  </si>
  <si>
    <t xml:space="preserve">5. Quanto vou receber de dividendos por mês?</t>
  </si>
  <si>
    <t xml:space="preserve">Total aportado no período</t>
  </si>
  <si>
    <t xml:space="preserve">Ganho com rendimentos</t>
  </si>
  <si>
    <t xml:space="preserve">CENÁRIOS — PATRIMÔNIO E DIVIDENDOS POR PRAZO</t>
  </si>
  <si>
    <t xml:space="preserve">Prazo (anos)</t>
  </si>
  <si>
    <t xml:space="preserve">Patrimônio</t>
  </si>
  <si>
    <t xml:space="preserve">Dividendos/mês</t>
  </si>
  <si>
    <t xml:space="preserve">Patrimônio c/ sugestão</t>
  </si>
  <si>
    <t xml:space="preserve">Dividendos c/ sugestão</t>
  </si>
  <si>
    <t xml:space="preserve">DIVISÃO DO APORTE POR PERFIL DE INVESTIDOR</t>
  </si>
  <si>
    <t xml:space="preserve">Perfil de investidor</t>
  </si>
  <si>
    <t xml:space="preserve">Moderado</t>
  </si>
  <si>
    <t xml:space="preserve">Valor mensal a investir</t>
  </si>
  <si>
    <t xml:space="preserve">Tipo de FII</t>
  </si>
  <si>
    <t xml:space="preserve">% sugerido</t>
  </si>
  <si>
    <t xml:space="preserve">Valor (R$)</t>
  </si>
  <si>
    <t xml:space="preserve">PAPEL</t>
  </si>
  <si>
    <t xml:space="preserve">TIJOLO</t>
  </si>
  <si>
    <t xml:space="preserve">HÍBRIDOS</t>
  </si>
  <si>
    <t xml:space="preserve">FOFs</t>
  </si>
  <si>
    <t xml:space="preserve">DESENVOLVIMENTO</t>
  </si>
  <si>
    <t xml:space="preserve">HOTELARIA</t>
  </si>
  <si>
    <t xml:space="preserve">TOTAL</t>
  </si>
  <si>
    <t xml:space="preserve">Os percentuais são apenas um exemplo didático, não uma recomendação de investimento. Edite-os na aba Apoio (cada perfil deve somar 100%).</t>
  </si>
  <si>
    <t xml:space="preserve">TABELA DE APOIO — PERCENTUAL POR PERFIL E TIPO DE FII</t>
  </si>
  <si>
    <t xml:space="preserve">Edite apenas a coluna % (amarelo). A chave é montada pela fórmula =Perfil&amp;"-"&amp;Tipo e é usada pelo PROCV do Simulador.</t>
  </si>
  <si>
    <t xml:space="preserve">CHAVE</t>
  </si>
  <si>
    <t xml:space="preserve">PERFIL</t>
  </si>
  <si>
    <t xml:space="preserve">TIPO DE FII</t>
  </si>
  <si>
    <t xml:space="preserve">%</t>
  </si>
  <si>
    <t xml:space="preserve">SOMA DOS %</t>
  </si>
  <si>
    <t xml:space="preserve">STATUS</t>
  </si>
  <si>
    <t xml:space="preserve">Conservador</t>
  </si>
  <si>
    <t xml:space="preserve">Agressivo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</si>
</sst>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0.00%"/>
    <numFmt numFmtId="167" formatCode="0%"/>
    <numFmt numFmtId="168" formatCode="0"/>
    <numFmt numFmtId="169" formatCode="@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0B2545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0B254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3"/>
      <color rgb="FF0B2545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2545"/>
        <bgColor rgb="FF003300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9EAF0"/>
      </patternFill>
    </fill>
    <fill>
      <patternFill patternType="solid">
        <fgColor rgb="FFD9EAF0"/>
        <bgColor rgb="FFE7E6E6"/>
      </patternFill>
    </fill>
    <fill>
      <patternFill patternType="solid">
        <fgColor rgb="FF13A89E"/>
        <bgColor rgb="FF4BACC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4F81BD"/>
      <rgbColor rgb="FF9999FF"/>
      <rgbColor rgb="FFC0504D"/>
      <rgbColor rgb="FFFFF2CC"/>
      <rgbColor rgb="FFD9EA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4BACC6"/>
      <rgbColor rgb="FF9BBB59"/>
      <rgbColor rgb="FFFFCC00"/>
      <rgbColor rgb="FFF79646"/>
      <rgbColor rgb="FFFF6600"/>
      <rgbColor rgb="FF8064A2"/>
      <rgbColor rgb="FF969696"/>
      <rgbColor rgb="FF0B2545"/>
      <rgbColor rgb="FF13A89E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Divisão do aporte por tipo de FII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Simulador!D35</c:f>
              <c:strCache>
                <c:ptCount val="1"/>
                <c:pt idx="0">
                  <c:v>Valor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Simulador!$B$36:$B$41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Simulador!$D$36:$D$41</c:f>
              <c:numCache>
                <c:formatCode>"R$ "#,##0.00</c:formatCode>
                <c:ptCount val="6"/>
                <c:pt idx="0">
                  <c:v>150</c:v>
                </c:pt>
                <c:pt idx="1">
                  <c:v>150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30</xdr:row>
      <xdr:rowOff>0</xdr:rowOff>
    </xdr:from>
    <xdr:to>
      <xdr:col>12</xdr:col>
      <xdr:colOff>136080</xdr:colOff>
      <xdr:row>44</xdr:row>
      <xdr:rowOff>50760</xdr:rowOff>
    </xdr:to>
    <xdr:graphicFrame>
      <xdr:nvGraphicFramePr>
        <xdr:cNvPr id="0" name="Chart 1"/>
        <xdr:cNvGraphicFramePr/>
      </xdr:nvGraphicFramePr>
      <xdr:xfrm>
        <a:off x="8458200" y="61912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F44"/>
  <sheetViews>
    <sheetView showFormulas="false" showGridLines="false" showRowColHeaders="fals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3"/>
    <col collapsed="false" customWidth="true" hidden="false" outlineLevel="0" max="10" min="8" style="0" width="14"/>
  </cols>
  <sheetData>
    <row r="1" customFormat="false" ht="24" hidden="false" customHeight="true" outlineLevel="0" collapsed="false">
      <c r="B1" s="1" t="s">
        <v>0</v>
      </c>
      <c r="C1" s="1"/>
      <c r="D1" s="1"/>
      <c r="E1" s="1"/>
      <c r="F1" s="1"/>
    </row>
    <row r="2" customFormat="false" ht="24" hidden="false" customHeight="true" outlineLevel="0" collapsed="false">
      <c r="B2" s="1"/>
      <c r="C2" s="1"/>
      <c r="D2" s="1"/>
      <c r="E2" s="1"/>
      <c r="F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</row>
    <row r="5" customFormat="false" ht="15" hidden="false" customHeight="false" outlineLevel="0" collapsed="false">
      <c r="B5" s="3" t="s">
        <v>2</v>
      </c>
      <c r="C5" s="4" t="s">
        <v>3</v>
      </c>
      <c r="D5" s="4"/>
    </row>
    <row r="7" customFormat="false" ht="15" hidden="false" customHeight="false" outlineLevel="0" collapsed="false">
      <c r="B7" s="5" t="s">
        <v>4</v>
      </c>
      <c r="C7" s="5"/>
      <c r="D7" s="5"/>
      <c r="E7" s="5"/>
      <c r="F7" s="5"/>
    </row>
    <row r="8" customFormat="false" ht="15" hidden="false" customHeight="false" outlineLevel="0" collapsed="false">
      <c r="B8" s="6" t="s">
        <v>5</v>
      </c>
      <c r="C8" s="6"/>
      <c r="D8" s="7" t="n">
        <v>3000</v>
      </c>
    </row>
    <row r="9" customFormat="false" ht="15" hidden="false" customHeight="false" outlineLevel="0" collapsed="false">
      <c r="B9" s="6" t="s">
        <v>6</v>
      </c>
      <c r="C9" s="6"/>
      <c r="D9" s="8" t="n">
        <v>0.008</v>
      </c>
    </row>
    <row r="10" customFormat="false" ht="15" hidden="false" customHeight="false" outlineLevel="0" collapsed="false">
      <c r="B10" s="6" t="s">
        <v>7</v>
      </c>
      <c r="C10" s="6"/>
      <c r="D10" s="9" t="n">
        <v>0.3</v>
      </c>
    </row>
    <row r="11" customFormat="false" ht="15" hidden="false" customHeight="false" outlineLevel="0" collapsed="false">
      <c r="B11" s="6" t="s">
        <v>8</v>
      </c>
      <c r="C11" s="6"/>
      <c r="D11" s="10" t="n">
        <f aca="false">salario*pct_sugestao</f>
        <v>900</v>
      </c>
    </row>
    <row r="13" customFormat="false" ht="15" hidden="false" customHeight="false" outlineLevel="0" collapsed="false">
      <c r="B13" s="5" t="s">
        <v>9</v>
      </c>
      <c r="C13" s="5"/>
      <c r="D13" s="5"/>
      <c r="E13" s="5"/>
      <c r="F13" s="5"/>
    </row>
    <row r="14" customFormat="false" ht="15" hidden="false" customHeight="false" outlineLevel="0" collapsed="false">
      <c r="D14" s="11" t="s">
        <v>10</v>
      </c>
      <c r="E14" s="11" t="s">
        <v>11</v>
      </c>
    </row>
    <row r="15" customFormat="false" ht="15" hidden="false" customHeight="false" outlineLevel="0" collapsed="false">
      <c r="B15" s="6" t="s">
        <v>12</v>
      </c>
      <c r="C15" s="6"/>
      <c r="D15" s="7" t="n">
        <v>500</v>
      </c>
      <c r="E15" s="10" t="n">
        <f aca="false">sugestao_aporte</f>
        <v>900</v>
      </c>
    </row>
    <row r="16" customFormat="false" ht="15" hidden="false" customHeight="false" outlineLevel="0" collapsed="false">
      <c r="B16" s="6" t="s">
        <v>13</v>
      </c>
      <c r="C16" s="6"/>
      <c r="D16" s="12" t="n">
        <v>10</v>
      </c>
      <c r="E16" s="13" t="n">
        <f aca="false">qtd_anos</f>
        <v>10</v>
      </c>
    </row>
    <row r="17" customFormat="false" ht="15" hidden="false" customHeight="false" outlineLevel="0" collapsed="false">
      <c r="B17" s="6" t="s">
        <v>14</v>
      </c>
      <c r="C17" s="6"/>
      <c r="D17" s="8" t="n">
        <v>0.009</v>
      </c>
      <c r="E17" s="14" t="n">
        <f aca="false">taxa_mensal</f>
        <v>0.009</v>
      </c>
    </row>
    <row r="18" customFormat="false" ht="15" hidden="false" customHeight="false" outlineLevel="0" collapsed="false">
      <c r="B18" s="15" t="s">
        <v>15</v>
      </c>
      <c r="C18" s="15"/>
      <c r="D18" s="16" t="n">
        <f aca="false">FV(taxa_mensal,qtd_anos*12,-aporte)</f>
        <v>107249.333742789</v>
      </c>
      <c r="E18" s="16" t="n">
        <f aca="false">FV(taxa_mensal,qtd_anos*12,-sugestao_aporte)</f>
        <v>193048.800737021</v>
      </c>
    </row>
    <row r="19" customFormat="false" ht="15" hidden="false" customHeight="false" outlineLevel="0" collapsed="false">
      <c r="B19" s="15" t="s">
        <v>16</v>
      </c>
      <c r="C19" s="15"/>
      <c r="D19" s="16" t="n">
        <f aca="false">patrimonio*rendimento_carteira</f>
        <v>857.994669942316</v>
      </c>
      <c r="E19" s="16" t="n">
        <f aca="false">E18*rendimento_carteira</f>
        <v>1544.39040589617</v>
      </c>
    </row>
    <row r="20" customFormat="false" ht="15" hidden="false" customHeight="false" outlineLevel="0" collapsed="false">
      <c r="B20" s="6" t="s">
        <v>17</v>
      </c>
      <c r="C20" s="6"/>
      <c r="D20" s="10" t="n">
        <f aca="false">aporte*qtd_anos*12</f>
        <v>60000</v>
      </c>
      <c r="E20" s="10" t="n">
        <f aca="false">sugestao_aporte*qtd_anos*12</f>
        <v>108000</v>
      </c>
    </row>
    <row r="21" customFormat="false" ht="15" hidden="false" customHeight="false" outlineLevel="0" collapsed="false">
      <c r="B21" s="6" t="s">
        <v>18</v>
      </c>
      <c r="C21" s="6"/>
      <c r="D21" s="10" t="n">
        <f aca="false">D18-D20</f>
        <v>47249.3337427894</v>
      </c>
      <c r="E21" s="10" t="n">
        <f aca="false">E18-E20</f>
        <v>85048.800737021</v>
      </c>
    </row>
    <row r="23" customFormat="false" ht="15" hidden="false" customHeight="false" outlineLevel="0" collapsed="false">
      <c r="B23" s="5" t="s">
        <v>19</v>
      </c>
      <c r="C23" s="5"/>
      <c r="D23" s="5"/>
      <c r="E23" s="5"/>
      <c r="F23" s="5"/>
    </row>
    <row r="24" customFormat="false" ht="30" hidden="false" customHeight="true" outlineLevel="0" collapsed="false">
      <c r="B24" s="17" t="s">
        <v>20</v>
      </c>
      <c r="C24" s="17" t="s">
        <v>21</v>
      </c>
      <c r="D24" s="17" t="s">
        <v>22</v>
      </c>
      <c r="E24" s="17" t="s">
        <v>23</v>
      </c>
      <c r="F24" s="17" t="s">
        <v>24</v>
      </c>
    </row>
    <row r="25" customFormat="false" ht="15" hidden="false" customHeight="false" outlineLevel="0" collapsed="false">
      <c r="B25" s="18" t="n">
        <v>2</v>
      </c>
      <c r="C25" s="10" t="n">
        <f aca="false">FV(taxa_mensal,$B25*12,-aporte)</f>
        <v>13327.9886790058</v>
      </c>
      <c r="D25" s="10" t="n">
        <f aca="false">C25*rendimento_carteira</f>
        <v>106.623909432046</v>
      </c>
      <c r="E25" s="10" t="n">
        <f aca="false">FV(taxa_mensal,$B25*12,-sugestao_aporte)</f>
        <v>23990.3796222104</v>
      </c>
      <c r="F25" s="10" t="n">
        <f aca="false">E25*rendimento_carteira</f>
        <v>191.923036977683</v>
      </c>
    </row>
    <row r="26" customFormat="false" ht="15" hidden="false" customHeight="false" outlineLevel="0" collapsed="false">
      <c r="B26" s="18" t="n">
        <v>5</v>
      </c>
      <c r="C26" s="10" t="n">
        <f aca="false">FV(taxa_mensal,$B26*12,-aporte)</f>
        <v>39548.1566334556</v>
      </c>
      <c r="D26" s="10" t="n">
        <f aca="false">C26*rendimento_carteira</f>
        <v>316.385253067645</v>
      </c>
      <c r="E26" s="10" t="n">
        <f aca="false">FV(taxa_mensal,$B26*12,-sugestao_aporte)</f>
        <v>71186.6819402202</v>
      </c>
      <c r="F26" s="10" t="n">
        <f aca="false">E26*rendimento_carteira</f>
        <v>569.493455521761</v>
      </c>
    </row>
    <row r="27" customFormat="false" ht="15" hidden="false" customHeight="false" outlineLevel="0" collapsed="false">
      <c r="B27" s="18" t="n">
        <v>10</v>
      </c>
      <c r="C27" s="10" t="n">
        <f aca="false">FV(taxa_mensal,$B27*12,-aporte)</f>
        <v>107249.333742789</v>
      </c>
      <c r="D27" s="10" t="n">
        <f aca="false">C27*rendimento_carteira</f>
        <v>857.994669942316</v>
      </c>
      <c r="E27" s="10" t="n">
        <f aca="false">FV(taxa_mensal,$B27*12,-sugestao_aporte)</f>
        <v>193048.800737021</v>
      </c>
      <c r="F27" s="10" t="n">
        <f aca="false">E27*rendimento_carteira</f>
        <v>1544.39040589617</v>
      </c>
    </row>
    <row r="28" customFormat="false" ht="15" hidden="false" customHeight="false" outlineLevel="0" collapsed="false">
      <c r="B28" s="18" t="n">
        <v>20</v>
      </c>
      <c r="C28" s="10" t="n">
        <f aca="false">FV(taxa_mensal,$B28*12,-aporte)</f>
        <v>421542.220074479</v>
      </c>
      <c r="D28" s="10" t="n">
        <f aca="false">C28*rendimento_carteira</f>
        <v>3372.33776059583</v>
      </c>
      <c r="E28" s="10" t="n">
        <f aca="false">FV(taxa_mensal,$B28*12,-sugestao_aporte)</f>
        <v>758775.996134062</v>
      </c>
      <c r="F28" s="10" t="n">
        <f aca="false">E28*rendimento_carteira</f>
        <v>6070.2079690725</v>
      </c>
    </row>
    <row r="29" customFormat="false" ht="15" hidden="false" customHeight="false" outlineLevel="0" collapsed="false">
      <c r="B29" s="18" t="n">
        <v>30</v>
      </c>
      <c r="C29" s="10" t="n">
        <f aca="false">FV(taxa_mensal,$B29*12,-aporte)</f>
        <v>1342573.75427126</v>
      </c>
      <c r="D29" s="10" t="n">
        <f aca="false">C29*rendimento_carteira</f>
        <v>10740.5900341701</v>
      </c>
      <c r="E29" s="10" t="n">
        <f aca="false">FV(taxa_mensal,$B29*12,-sugestao_aporte)</f>
        <v>2416632.75768828</v>
      </c>
      <c r="F29" s="10" t="n">
        <f aca="false">E29*rendimento_carteira</f>
        <v>19333.0620615062</v>
      </c>
    </row>
    <row r="31" customFormat="false" ht="15" hidden="false" customHeight="false" outlineLevel="0" collapsed="false">
      <c r="B31" s="5" t="s">
        <v>25</v>
      </c>
      <c r="C31" s="5"/>
      <c r="D31" s="5"/>
      <c r="E31" s="5"/>
      <c r="F31" s="5"/>
    </row>
    <row r="32" customFormat="false" ht="15" hidden="false" customHeight="false" outlineLevel="0" collapsed="false">
      <c r="B32" s="6" t="s">
        <v>26</v>
      </c>
      <c r="C32" s="19" t="s">
        <v>27</v>
      </c>
    </row>
    <row r="33" customFormat="false" ht="15" hidden="false" customHeight="false" outlineLevel="0" collapsed="false">
      <c r="B33" s="6" t="s">
        <v>28</v>
      </c>
      <c r="C33" s="10" t="n">
        <f aca="false">aporte</f>
        <v>500</v>
      </c>
    </row>
    <row r="35" customFormat="false" ht="15" hidden="false" customHeight="false" outlineLevel="0" collapsed="false">
      <c r="B35" s="20" t="s">
        <v>29</v>
      </c>
      <c r="C35" s="20" t="s">
        <v>30</v>
      </c>
      <c r="D35" s="20" t="s">
        <v>31</v>
      </c>
    </row>
    <row r="36" customFormat="false" ht="15" hidden="false" customHeight="false" outlineLevel="0" collapsed="false">
      <c r="B36" s="6" t="s">
        <v>32</v>
      </c>
      <c r="C36" s="21" t="n">
        <f aca="false">VLOOKUP(perfil&amp;"-"&amp;$B36,Apoio!$A:$D,4,FALSE())</f>
        <v>0.3</v>
      </c>
      <c r="D36" s="10" t="n">
        <f aca="false">C36*$C$33</f>
        <v>150</v>
      </c>
    </row>
    <row r="37" customFormat="false" ht="15" hidden="false" customHeight="false" outlineLevel="0" collapsed="false">
      <c r="B37" s="6" t="s">
        <v>33</v>
      </c>
      <c r="C37" s="21" t="n">
        <f aca="false">VLOOKUP(perfil&amp;"-"&amp;$B37,Apoio!$A:$D,4,FALSE())</f>
        <v>0.3</v>
      </c>
      <c r="D37" s="10" t="n">
        <f aca="false">C37*$C$33</f>
        <v>150</v>
      </c>
    </row>
    <row r="38" customFormat="false" ht="15" hidden="false" customHeight="false" outlineLevel="0" collapsed="false">
      <c r="B38" s="6" t="s">
        <v>34</v>
      </c>
      <c r="C38" s="21" t="n">
        <f aca="false">VLOOKUP(perfil&amp;"-"&amp;$B38,Apoio!$A:$D,4,FALSE())</f>
        <v>0.1</v>
      </c>
      <c r="D38" s="10" t="n">
        <f aca="false">C38*$C$33</f>
        <v>50</v>
      </c>
    </row>
    <row r="39" customFormat="false" ht="15" hidden="false" customHeight="false" outlineLevel="0" collapsed="false">
      <c r="B39" s="6" t="s">
        <v>35</v>
      </c>
      <c r="C39" s="21" t="n">
        <f aca="false">VLOOKUP(perfil&amp;"-"&amp;$B39,Apoio!$A:$D,4,FALSE())</f>
        <v>0.1</v>
      </c>
      <c r="D39" s="10" t="n">
        <f aca="false">C39*$C$33</f>
        <v>50</v>
      </c>
    </row>
    <row r="40" customFormat="false" ht="15" hidden="false" customHeight="false" outlineLevel="0" collapsed="false">
      <c r="B40" s="6" t="s">
        <v>36</v>
      </c>
      <c r="C40" s="21" t="n">
        <f aca="false">VLOOKUP(perfil&amp;"-"&amp;$B40,Apoio!$A:$D,4,FALSE())</f>
        <v>0.1</v>
      </c>
      <c r="D40" s="10" t="n">
        <f aca="false">C40*$C$33</f>
        <v>50</v>
      </c>
    </row>
    <row r="41" customFormat="false" ht="15" hidden="false" customHeight="false" outlineLevel="0" collapsed="false">
      <c r="B41" s="6" t="s">
        <v>37</v>
      </c>
      <c r="C41" s="21" t="n">
        <f aca="false">VLOOKUP(perfil&amp;"-"&amp;$B41,Apoio!$A:$D,4,FALSE())</f>
        <v>0.1</v>
      </c>
      <c r="D41" s="10" t="n">
        <f aca="false">C41*$C$33</f>
        <v>50</v>
      </c>
    </row>
    <row r="42" customFormat="false" ht="15" hidden="false" customHeight="false" outlineLevel="0" collapsed="false">
      <c r="B42" s="15" t="s">
        <v>38</v>
      </c>
      <c r="C42" s="22" t="n">
        <f aca="false">SUM(C36:C41)</f>
        <v>1</v>
      </c>
      <c r="D42" s="16" t="n">
        <f aca="false">SUM(D36:D41)</f>
        <v>500</v>
      </c>
    </row>
    <row r="44" customFormat="false" ht="27.75" hidden="false" customHeight="true" outlineLevel="0" collapsed="false">
      <c r="B44" s="23" t="s">
        <v>39</v>
      </c>
      <c r="C44" s="23"/>
      <c r="D44" s="23"/>
      <c r="E44" s="23"/>
      <c r="F44" s="23"/>
    </row>
  </sheetData>
  <mergeCells count="19">
    <mergeCell ref="B1:F2"/>
    <mergeCell ref="B3:F3"/>
    <mergeCell ref="C5:D5"/>
    <mergeCell ref="B7:F7"/>
    <mergeCell ref="B8:C8"/>
    <mergeCell ref="B9:C9"/>
    <mergeCell ref="B10:C10"/>
    <mergeCell ref="B11:C11"/>
    <mergeCell ref="B13:F13"/>
    <mergeCell ref="B15:C15"/>
    <mergeCell ref="B16:C16"/>
    <mergeCell ref="B17:C17"/>
    <mergeCell ref="B18:C18"/>
    <mergeCell ref="B19:C19"/>
    <mergeCell ref="B20:C20"/>
    <mergeCell ref="B21:C21"/>
    <mergeCell ref="B23:F23"/>
    <mergeCell ref="B31:F31"/>
    <mergeCell ref="B44:F44"/>
  </mergeCells>
  <dataValidations count="1">
    <dataValidation allowBlank="false" error="Escolha Conservador, Moderado ou Agressivo." errorStyle="stop" errorTitle="Perfil inválido" operator="between" showDropDown="false" showErrorMessage="true" showInputMessage="false" sqref="C32" type="list">
      <formula1>"Conservador,Moderado,Agressivo"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fals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3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2"/>
  </cols>
  <sheetData>
    <row r="1" customFormat="false" ht="16.15" hidden="false" customHeight="false" outlineLevel="0" collapsed="false">
      <c r="A1" s="24" t="s">
        <v>40</v>
      </c>
    </row>
    <row r="2" customFormat="false" ht="15" hidden="false" customHeight="false" outlineLevel="0" collapsed="false">
      <c r="A2" s="25" t="s">
        <v>41</v>
      </c>
    </row>
    <row r="4" customFormat="false" ht="15" hidden="false" customHeight="false" outlineLevel="0" collapsed="false">
      <c r="A4" s="26" t="s">
        <v>42</v>
      </c>
      <c r="B4" s="26" t="s">
        <v>43</v>
      </c>
      <c r="C4" s="26" t="s">
        <v>44</v>
      </c>
      <c r="D4" s="26" t="s">
        <v>45</v>
      </c>
      <c r="F4" s="26" t="s">
        <v>43</v>
      </c>
      <c r="G4" s="26" t="s">
        <v>46</v>
      </c>
      <c r="H4" s="26" t="s">
        <v>47</v>
      </c>
    </row>
    <row r="5" customFormat="false" ht="15" hidden="false" customHeight="false" outlineLevel="0" collapsed="false">
      <c r="A5" s="4" t="str">
        <f aca="false">B5&amp;"-"&amp;C5</f>
        <v>Conservador-PAPEL</v>
      </c>
      <c r="B5" s="6" t="s">
        <v>48</v>
      </c>
      <c r="C5" s="6" t="s">
        <v>32</v>
      </c>
      <c r="D5" s="9" t="n">
        <v>0.25</v>
      </c>
      <c r="F5" s="6" t="s">
        <v>48</v>
      </c>
      <c r="G5" s="21" t="n">
        <f aca="false">SUMIF($B:$B,F5,$D:$D)</f>
        <v>1</v>
      </c>
      <c r="H5" s="27" t="str">
        <f aca="false">IF(ROUND(G5,4)=1,"OK","Ajustar")</f>
        <v>OK</v>
      </c>
    </row>
    <row r="6" customFormat="false" ht="15" hidden="false" customHeight="false" outlineLevel="0" collapsed="false">
      <c r="A6" s="4" t="str">
        <f aca="false">B6&amp;"-"&amp;C6</f>
        <v>Conservador-TIJOLO</v>
      </c>
      <c r="B6" s="6" t="s">
        <v>48</v>
      </c>
      <c r="C6" s="6" t="s">
        <v>33</v>
      </c>
      <c r="D6" s="9" t="n">
        <v>0.45</v>
      </c>
      <c r="F6" s="6" t="s">
        <v>27</v>
      </c>
      <c r="G6" s="21" t="n">
        <f aca="false">SUMIF($B:$B,F6,$D:$D)</f>
        <v>1</v>
      </c>
      <c r="H6" s="27" t="str">
        <f aca="false">IF(ROUND(G6,4)=1,"OK","Ajustar")</f>
        <v>OK</v>
      </c>
    </row>
    <row r="7" customFormat="false" ht="15" hidden="false" customHeight="false" outlineLevel="0" collapsed="false">
      <c r="A7" s="4" t="str">
        <f aca="false">B7&amp;"-"&amp;C7</f>
        <v>Conservador-HÍBRIDOS</v>
      </c>
      <c r="B7" s="6" t="s">
        <v>48</v>
      </c>
      <c r="C7" s="6" t="s">
        <v>34</v>
      </c>
      <c r="D7" s="9" t="n">
        <v>0.15</v>
      </c>
      <c r="F7" s="6" t="s">
        <v>49</v>
      </c>
      <c r="G7" s="21" t="n">
        <f aca="false">SUMIF($B:$B,F7,$D:$D)</f>
        <v>1</v>
      </c>
      <c r="H7" s="27" t="str">
        <f aca="false">IF(ROUND(G7,4)=1,"OK","Ajustar")</f>
        <v>OK</v>
      </c>
    </row>
    <row r="8" customFormat="false" ht="15" hidden="false" customHeight="false" outlineLevel="0" collapsed="false">
      <c r="A8" s="4" t="str">
        <f aca="false">B8&amp;"-"&amp;C8</f>
        <v>Conservador-FOFs</v>
      </c>
      <c r="B8" s="6" t="s">
        <v>48</v>
      </c>
      <c r="C8" s="6" t="s">
        <v>35</v>
      </c>
      <c r="D8" s="9" t="n">
        <v>0.15</v>
      </c>
    </row>
    <row r="9" customFormat="false" ht="15" hidden="false" customHeight="false" outlineLevel="0" collapsed="false">
      <c r="A9" s="4" t="str">
        <f aca="false">B9&amp;"-"&amp;C9</f>
        <v>Conservador-DESENVOLVIMENTO</v>
      </c>
      <c r="B9" s="6" t="s">
        <v>48</v>
      </c>
      <c r="C9" s="6" t="s">
        <v>36</v>
      </c>
      <c r="D9" s="9" t="n">
        <v>0</v>
      </c>
    </row>
    <row r="10" customFormat="false" ht="15" hidden="false" customHeight="false" outlineLevel="0" collapsed="false">
      <c r="A10" s="4" t="str">
        <f aca="false">B10&amp;"-"&amp;C10</f>
        <v>Conservador-HOTELARIA</v>
      </c>
      <c r="B10" s="6" t="s">
        <v>48</v>
      </c>
      <c r="C10" s="6" t="s">
        <v>37</v>
      </c>
      <c r="D10" s="9" t="n">
        <v>0</v>
      </c>
    </row>
    <row r="11" customFormat="false" ht="15" hidden="false" customHeight="false" outlineLevel="0" collapsed="false">
      <c r="A11" s="4" t="str">
        <f aca="false">B11&amp;"-"&amp;C11</f>
        <v>Moderado-PAPEL</v>
      </c>
      <c r="B11" s="6" t="s">
        <v>27</v>
      </c>
      <c r="C11" s="6" t="s">
        <v>32</v>
      </c>
      <c r="D11" s="9" t="n">
        <v>0.3</v>
      </c>
    </row>
    <row r="12" customFormat="false" ht="15" hidden="false" customHeight="false" outlineLevel="0" collapsed="false">
      <c r="A12" s="4" t="str">
        <f aca="false">B12&amp;"-"&amp;C12</f>
        <v>Moderado-TIJOLO</v>
      </c>
      <c r="B12" s="6" t="s">
        <v>27</v>
      </c>
      <c r="C12" s="6" t="s">
        <v>33</v>
      </c>
      <c r="D12" s="9" t="n">
        <v>0.3</v>
      </c>
    </row>
    <row r="13" customFormat="false" ht="15" hidden="false" customHeight="false" outlineLevel="0" collapsed="false">
      <c r="A13" s="4" t="str">
        <f aca="false">B13&amp;"-"&amp;C13</f>
        <v>Moderado-HÍBRIDOS</v>
      </c>
      <c r="B13" s="6" t="s">
        <v>27</v>
      </c>
      <c r="C13" s="6" t="s">
        <v>34</v>
      </c>
      <c r="D13" s="9" t="n">
        <v>0.1</v>
      </c>
    </row>
    <row r="14" customFormat="false" ht="15" hidden="false" customHeight="false" outlineLevel="0" collapsed="false">
      <c r="A14" s="4" t="str">
        <f aca="false">B14&amp;"-"&amp;C14</f>
        <v>Moderado-FOFs</v>
      </c>
      <c r="B14" s="6" t="s">
        <v>27</v>
      </c>
      <c r="C14" s="6" t="s">
        <v>35</v>
      </c>
      <c r="D14" s="9" t="n">
        <v>0.1</v>
      </c>
    </row>
    <row r="15" customFormat="false" ht="15" hidden="false" customHeight="false" outlineLevel="0" collapsed="false">
      <c r="A15" s="4" t="str">
        <f aca="false">B15&amp;"-"&amp;C15</f>
        <v>Moderado-DESENVOLVIMENTO</v>
      </c>
      <c r="B15" s="6" t="s">
        <v>27</v>
      </c>
      <c r="C15" s="6" t="s">
        <v>36</v>
      </c>
      <c r="D15" s="9" t="n">
        <v>0.1</v>
      </c>
    </row>
    <row r="16" customFormat="false" ht="15" hidden="false" customHeight="false" outlineLevel="0" collapsed="false">
      <c r="A16" s="4" t="str">
        <f aca="false">B16&amp;"-"&amp;C16</f>
        <v>Moderado-HOTELARIA</v>
      </c>
      <c r="B16" s="6" t="s">
        <v>27</v>
      </c>
      <c r="C16" s="6" t="s">
        <v>37</v>
      </c>
      <c r="D16" s="9" t="n">
        <v>0.1</v>
      </c>
    </row>
    <row r="17" customFormat="false" ht="15" hidden="false" customHeight="false" outlineLevel="0" collapsed="false">
      <c r="A17" s="4" t="str">
        <f aca="false">B17&amp;"-"&amp;C17</f>
        <v>Agressivo-PAPEL</v>
      </c>
      <c r="B17" s="6" t="s">
        <v>49</v>
      </c>
      <c r="C17" s="6" t="s">
        <v>32</v>
      </c>
      <c r="D17" s="9" t="n">
        <v>0.35</v>
      </c>
    </row>
    <row r="18" customFormat="false" ht="15" hidden="false" customHeight="false" outlineLevel="0" collapsed="false">
      <c r="A18" s="4" t="str">
        <f aca="false">B18&amp;"-"&amp;C18</f>
        <v>Agressivo-TIJOLO</v>
      </c>
      <c r="B18" s="6" t="s">
        <v>49</v>
      </c>
      <c r="C18" s="6" t="s">
        <v>33</v>
      </c>
      <c r="D18" s="9" t="n">
        <v>0.15</v>
      </c>
    </row>
    <row r="19" customFormat="false" ht="15" hidden="false" customHeight="false" outlineLevel="0" collapsed="false">
      <c r="A19" s="4" t="str">
        <f aca="false">B19&amp;"-"&amp;C19</f>
        <v>Agressivo-HÍBRIDOS</v>
      </c>
      <c r="B19" s="6" t="s">
        <v>49</v>
      </c>
      <c r="C19" s="6" t="s">
        <v>34</v>
      </c>
      <c r="D19" s="9" t="n">
        <v>0.05</v>
      </c>
    </row>
    <row r="20" customFormat="false" ht="15" hidden="false" customHeight="false" outlineLevel="0" collapsed="false">
      <c r="A20" s="4" t="str">
        <f aca="false">B20&amp;"-"&amp;C20</f>
        <v>Agressivo-FOFs</v>
      </c>
      <c r="B20" s="6" t="s">
        <v>49</v>
      </c>
      <c r="C20" s="6" t="s">
        <v>35</v>
      </c>
      <c r="D20" s="9" t="n">
        <v>0.05</v>
      </c>
    </row>
    <row r="21" customFormat="false" ht="15" hidden="false" customHeight="false" outlineLevel="0" collapsed="false">
      <c r="A21" s="4" t="str">
        <f aca="false">B21&amp;"-"&amp;C21</f>
        <v>Agressivo-DESENVOLVIMENTO</v>
      </c>
      <c r="B21" s="6" t="s">
        <v>49</v>
      </c>
      <c r="C21" s="6" t="s">
        <v>36</v>
      </c>
      <c r="D21" s="9" t="n">
        <v>0.25</v>
      </c>
    </row>
    <row r="22" customFormat="false" ht="15" hidden="false" customHeight="false" outlineLevel="0" collapsed="false">
      <c r="A22" s="4" t="str">
        <f aca="false">B22&amp;"-"&amp;C22</f>
        <v>Agressivo-HOTELARIA</v>
      </c>
      <c r="B22" s="6" t="s">
        <v>49</v>
      </c>
      <c r="C22" s="6" t="s">
        <v>37</v>
      </c>
      <c r="D22" s="9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2026-10-12T20:51:36Z</dcterms:created>
  <dc:creator>openpyxl</dc:creator>
  <dc:description/>
  <dc:language>en-US</dc:language>
  <cp:lastModifiedBy/>
  <dcterms:modified xsi:type="dcterms:W3CDTF">2026-10-12T17:51:38Z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